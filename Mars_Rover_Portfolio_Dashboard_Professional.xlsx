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5E803381-C41B-4D1E-A4BA-51B1C842C1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_Dashboard" sheetId="1" r:id="rId1"/>
    <sheet name="Team_Members" sheetId="2" r:id="rId2"/>
    <sheet name="Sprint_Metrics" sheetId="3" r:id="rId3"/>
    <sheet name="Capacity" sheetId="4" r:id="rId4"/>
    <sheet name="Milestones" sheetId="5" r:id="rId5"/>
    <sheet name="RAID_Lo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</calcChain>
</file>

<file path=xl/sharedStrings.xml><?xml version="1.0" encoding="utf-8"?>
<sst xmlns="http://schemas.openxmlformats.org/spreadsheetml/2006/main" count="161" uniqueCount="118">
  <si>
    <t>Mars Rover Delivery Management Dashboard &amp; RAID Tracker</t>
  </si>
  <si>
    <t>Average Velocity</t>
  </si>
  <si>
    <t>Total Story Points Delivered</t>
  </si>
  <si>
    <t>Milestones Complete</t>
  </si>
  <si>
    <t>Open Risks</t>
  </si>
  <si>
    <t>Project Health</t>
  </si>
  <si>
    <t>GREEN</t>
  </si>
  <si>
    <t>Emp ID</t>
  </si>
  <si>
    <t>Name</t>
  </si>
  <si>
    <t>Role</t>
  </si>
  <si>
    <t>Allocation %</t>
  </si>
  <si>
    <t>TM01</t>
  </si>
  <si>
    <t>Aarav Sharma</t>
  </si>
  <si>
    <t>Project Lead</t>
  </si>
  <si>
    <t>TM02</t>
  </si>
  <si>
    <t>Priya Patel</t>
  </si>
  <si>
    <t>Systems Engineer</t>
  </si>
  <si>
    <t>TM03</t>
  </si>
  <si>
    <t>Rohan Gupta</t>
  </si>
  <si>
    <t>Mechanical Engineer</t>
  </si>
  <si>
    <t>TM04</t>
  </si>
  <si>
    <t>Ananya Singh</t>
  </si>
  <si>
    <t>TM05</t>
  </si>
  <si>
    <t>Vivek Rao</t>
  </si>
  <si>
    <t>Embedded Engineer</t>
  </si>
  <si>
    <t>TM06</t>
  </si>
  <si>
    <t>Neha Verma</t>
  </si>
  <si>
    <t>Software Engineer</t>
  </si>
  <si>
    <t>TM07</t>
  </si>
  <si>
    <t>Karan Joshi</t>
  </si>
  <si>
    <t>TM08</t>
  </si>
  <si>
    <t>Aditya Mehta</t>
  </si>
  <si>
    <t>Electronics Engineer</t>
  </si>
  <si>
    <t>TM09</t>
  </si>
  <si>
    <t>Ishita Roy</t>
  </si>
  <si>
    <t>Science Lead</t>
  </si>
  <si>
    <t>TM10</t>
  </si>
  <si>
    <t>Rahul Nair</t>
  </si>
  <si>
    <t>Testing Engineer</t>
  </si>
  <si>
    <t>TM11</t>
  </si>
  <si>
    <t>Sneha Kulkarni</t>
  </si>
  <si>
    <t>Documentation &amp; PMO</t>
  </si>
  <si>
    <t>Sprint</t>
  </si>
  <si>
    <t>Planned SP</t>
  </si>
  <si>
    <t>Completed SP</t>
  </si>
  <si>
    <t>Velocity %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</si>
  <si>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</si>
  <si>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</si>
  <si>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</si>
  <si>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</si>
  <si>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</si>
  <si>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</si>
  <si>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</si>
  <si>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</si>
  <si>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</si>
  <si>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</si>
  <si>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</si>
  <si>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</si>
  <si>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</si>
  <si>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</si>
  <si>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</si>
  <si>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</si>
  <si>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</si>
  <si>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</si>
  <si>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</si>
  <si>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</si>
  <si>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Capacity Hours</t>
  </si>
  <si>
    <t>Utilized Hours</t>
  </si>
  <si>
    <t>ID</t>
  </si>
  <si>
    <t>Milestone</t>
  </si>
  <si>
    <t>Month</t>
  </si>
  <si>
    <t>Status</t>
  </si>
  <si>
    <t>M1</t>
  </si>
  <si>
    <t>Design Freeze</t>
  </si>
  <si>
    <t>Complete</t>
  </si>
  <si>
    <t>M2</t>
  </si>
  <si>
    <t>Prototype Build</t>
  </si>
  <si>
    <t>M3</t>
  </si>
  <si>
    <t>Power Validation</t>
  </si>
  <si>
    <t>M4</t>
  </si>
  <si>
    <t>Software Alpha</t>
  </si>
  <si>
    <t>M5</t>
  </si>
  <si>
    <t>Sensor Integration</t>
  </si>
  <si>
    <t>M6</t>
  </si>
  <si>
    <t>Autonomous Drive Test</t>
  </si>
  <si>
    <t>M7</t>
  </si>
  <si>
    <t>Payload Integration</t>
  </si>
  <si>
    <t>M8</t>
  </si>
  <si>
    <t>Environmental Qualification</t>
  </si>
  <si>
    <t>M9</t>
  </si>
  <si>
    <t>System Integration</t>
  </si>
  <si>
    <t>M10</t>
  </si>
  <si>
    <t>Competition Readiness</t>
  </si>
  <si>
    <t>Type</t>
  </si>
  <si>
    <t>Description</t>
  </si>
  <si>
    <t>R01</t>
  </si>
  <si>
    <t>Risk</t>
  </si>
  <si>
    <t>Sensor delivery delay</t>
  </si>
  <si>
    <t>Closed</t>
  </si>
  <si>
    <t>R02</t>
  </si>
  <si>
    <t>Battery overheating</t>
  </si>
  <si>
    <t>A01</t>
  </si>
  <si>
    <t>Assumption</t>
  </si>
  <si>
    <t>Components within budget</t>
  </si>
  <si>
    <t>Valid</t>
  </si>
  <si>
    <t>A02</t>
  </si>
  <si>
    <t>Test facility available</t>
  </si>
  <si>
    <t>I01</t>
  </si>
  <si>
    <t>Issue</t>
  </si>
  <si>
    <t>Navigation instability</t>
  </si>
  <si>
    <t>Resolved</t>
  </si>
  <si>
    <t>I02</t>
  </si>
  <si>
    <t>Suspension failure</t>
  </si>
  <si>
    <t>D01</t>
  </si>
  <si>
    <t>Dependency</t>
  </si>
  <si>
    <t>Sensor vendor</t>
  </si>
  <si>
    <t>D02</t>
  </si>
  <si>
    <t>Test ground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</si>
</sst>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Sprint Velocity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Sprint_Metrics!$C$1</c:f>
              <c:strCache>
                <c:ptCount val="1"/>
                <c:pt idx="0">
                  <c:v>Completed SP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Sprint_Metrics!$A$2:$A$21</c:f>
              <c:strCache>
                <c:ptCount val="2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</c:strCache>
            </c:strRef>
          </c:cat>
          <c:val>
            <c:numRef>
              <c:f>Sprint_Metrics!$C$2:$C$21</c:f>
              <c:numCache>
                <c:formatCode>General</c:formatCode>
                <c:ptCount val="20"/>
                <c:pt idx="0">
                  <c:v>35</c:v>
                </c:pt>
                <c:pt idx="1">
                  <c:v>42</c:v>
                </c:pt>
                <c:pt idx="2">
                  <c:v>46</c:v>
                </c:pt>
                <c:pt idx="3">
                  <c:v>48</c:v>
                </c:pt>
                <c:pt idx="4">
                  <c:v>51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59</c:v>
                </c:pt>
                <c:pt idx="9">
                  <c:v>63</c:v>
                </c:pt>
                <c:pt idx="10">
                  <c:v>65</c:v>
                </c:pt>
                <c:pt idx="11">
                  <c:v>67</c:v>
                </c:pt>
                <c:pt idx="12">
                  <c:v>69</c:v>
                </c:pt>
                <c:pt idx="13">
                  <c:v>71</c:v>
                </c:pt>
                <c:pt idx="14">
                  <c:v>75</c:v>
                </c:pt>
                <c:pt idx="15">
                  <c:v>76</c:v>
                </c:pt>
                <c:pt idx="16">
                  <c:v>80</c:v>
                </c:pt>
                <c:pt idx="17">
                  <c:v>82</c:v>
                </c:pt>
                <c:pt idx="18">
                  <c:v>84</c:v>
                </c:pt>
                <c:pt idx="19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A7-4987-A296-81C1FD9F5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Capacity Utilization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Capacity!$B$1</c:f>
              <c:strCache>
                <c:ptCount val="1"/>
                <c:pt idx="0">
                  <c:v>Capacity 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Capacity!$A$2:$A$21</c:f>
              <c:strCache>
                <c:ptCount val="2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</c:strCache>
            </c:strRef>
          </c:cat>
          <c:val>
            <c:numRef>
              <c:f>Capacity!$B$2:$B$21</c:f>
              <c:numCache>
                <c:formatCode>General</c:formatCode>
                <c:ptCount val="20"/>
                <c:pt idx="0">
                  <c:v>880</c:v>
                </c:pt>
                <c:pt idx="1">
                  <c:v>860</c:v>
                </c:pt>
                <c:pt idx="2">
                  <c:v>880</c:v>
                </c:pt>
                <c:pt idx="3">
                  <c:v>880</c:v>
                </c:pt>
                <c:pt idx="4">
                  <c:v>860</c:v>
                </c:pt>
                <c:pt idx="5">
                  <c:v>880</c:v>
                </c:pt>
                <c:pt idx="6">
                  <c:v>880</c:v>
                </c:pt>
                <c:pt idx="7">
                  <c:v>860</c:v>
                </c:pt>
                <c:pt idx="8">
                  <c:v>880</c:v>
                </c:pt>
                <c:pt idx="9">
                  <c:v>880</c:v>
                </c:pt>
                <c:pt idx="10">
                  <c:v>860</c:v>
                </c:pt>
                <c:pt idx="11">
                  <c:v>880</c:v>
                </c:pt>
                <c:pt idx="12">
                  <c:v>880</c:v>
                </c:pt>
                <c:pt idx="13">
                  <c:v>860</c:v>
                </c:pt>
                <c:pt idx="14">
                  <c:v>880</c:v>
                </c:pt>
                <c:pt idx="15">
                  <c:v>880</c:v>
                </c:pt>
                <c:pt idx="16">
                  <c:v>860</c:v>
                </c:pt>
                <c:pt idx="17">
                  <c:v>880</c:v>
                </c:pt>
                <c:pt idx="18">
                  <c:v>880</c:v>
                </c:pt>
                <c:pt idx="19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C-40FA-886B-2FB192813BED}"/>
            </c:ext>
          </c:extLst>
        </c:ser>
        <c:ser>
          <c:idx val="1"/>
          <c:order val="1"/>
          <c:tx>
            <c:strRef>
              <c:f>Capacity!$C$1</c:f>
              <c:strCache>
                <c:ptCount val="1"/>
                <c:pt idx="0">
                  <c:v>Utilized 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Capacity!$A$2:$A$21</c:f>
              <c:strCache>
                <c:ptCount val="2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</c:strCache>
            </c:strRef>
          </c:cat>
          <c:val>
            <c:numRef>
              <c:f>Capacity!$C$2:$C$21</c:f>
              <c:numCache>
                <c:formatCode>General</c:formatCode>
                <c:ptCount val="20"/>
                <c:pt idx="0">
                  <c:v>770</c:v>
                </c:pt>
                <c:pt idx="1">
                  <c:v>802</c:v>
                </c:pt>
                <c:pt idx="2">
                  <c:v>809</c:v>
                </c:pt>
                <c:pt idx="3">
                  <c:v>812</c:v>
                </c:pt>
                <c:pt idx="4">
                  <c:v>797</c:v>
                </c:pt>
                <c:pt idx="5">
                  <c:v>819</c:v>
                </c:pt>
                <c:pt idx="6">
                  <c:v>821</c:v>
                </c:pt>
                <c:pt idx="7">
                  <c:v>804</c:v>
                </c:pt>
                <c:pt idx="8">
                  <c:v>799</c:v>
                </c:pt>
                <c:pt idx="9">
                  <c:v>814</c:v>
                </c:pt>
                <c:pt idx="10">
                  <c:v>798</c:v>
                </c:pt>
                <c:pt idx="11">
                  <c:v>819</c:v>
                </c:pt>
                <c:pt idx="12">
                  <c:v>809</c:v>
                </c:pt>
                <c:pt idx="13">
                  <c:v>782</c:v>
                </c:pt>
                <c:pt idx="14">
                  <c:v>825</c:v>
                </c:pt>
                <c:pt idx="15">
                  <c:v>815</c:v>
                </c:pt>
                <c:pt idx="16">
                  <c:v>809</c:v>
                </c:pt>
                <c:pt idx="17">
                  <c:v>829</c:v>
                </c:pt>
                <c:pt idx="18">
                  <c:v>821</c:v>
                </c:pt>
                <c:pt idx="19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C-40FA-886B-2FB192813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491629629629639"/>
          <c:y val="4.3350740740740759E-2"/>
          <c:w val="0.23745407407407407"/>
          <c:h val="0.1042614814814814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912518</xdr:colOff>
      <xdr:row>17</xdr:row>
      <xdr:rowOff>56445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81" zoomScaleNormal="81" workbookViewId="0">
      <selection activeCell="G24" sqref="G24"/>
    </sheetView>
  </sheetViews>
  <sheetFormatPr defaultRowHeight="14.4" x14ac:dyDescent="0.3"/>
  <cols>
    <col min="1" max="8" width="24" customWidth="1"/>
  </cols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3" spans="1:8" x14ac:dyDescent="0.3">
      <c r="A3" t="s">
        <v>1</v>
      </c>
      <c r="B3">
        <f>AVERAGE(Sprint_Metrics!D2:D21)</f>
        <v>92.694999999999979</v>
      </c>
    </row>
    <row r="4" spans="1:8" x14ac:dyDescent="0.3">
      <c r="A4" t="s">
        <v>2</v>
      </c>
      <c r="B4">
        <f>SUM(Sprint_Metrics!C2:C21)</f>
        <v>1269</v>
      </c>
    </row>
    <row r="5" spans="1:8" x14ac:dyDescent="0.3">
      <c r="A5" t="s">
        <v>3</v>
      </c>
      <c r="B5">
        <f>COUNTA(Milestones!A2:A11)</f>
        <v>10</v>
      </c>
    </row>
    <row r="6" spans="1:8" x14ac:dyDescent="0.3">
      <c r="A6" t="s">
        <v>4</v>
      </c>
      <c r="B6">
        <f>COUNTIFS(RAID_Log!B:B,"Risk",RAID_Log!D:D,"Open")</f>
        <v>0</v>
      </c>
    </row>
    <row r="7" spans="1:8" x14ac:dyDescent="0.3">
      <c r="A7" t="s">
        <v>5</v>
      </c>
      <c r="B7" t="s">
        <v>6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">
      <c r="A2" t="s">
        <v>11</v>
      </c>
      <c r="B2" t="s">
        <v>12</v>
      </c>
      <c r="C2" t="s">
        <v>13</v>
      </c>
      <c r="D2">
        <v>100</v>
      </c>
    </row>
    <row r="3" spans="1:4" x14ac:dyDescent="0.3">
      <c r="A3" t="s">
        <v>14</v>
      </c>
      <c r="B3" t="s">
        <v>15</v>
      </c>
      <c r="C3" t="s">
        <v>16</v>
      </c>
      <c r="D3">
        <v>100</v>
      </c>
    </row>
    <row r="4" spans="1:4" x14ac:dyDescent="0.3">
      <c r="A4" t="s">
        <v>17</v>
      </c>
      <c r="B4" t="s">
        <v>18</v>
      </c>
      <c r="C4" t="s">
        <v>19</v>
      </c>
      <c r="D4">
        <v>100</v>
      </c>
    </row>
    <row r="5" spans="1:4" x14ac:dyDescent="0.3">
      <c r="A5" t="s">
        <v>20</v>
      </c>
      <c r="B5" t="s">
        <v>21</v>
      </c>
      <c r="C5" t="s">
        <v>19</v>
      </c>
      <c r="D5">
        <v>100</v>
      </c>
    </row>
    <row r="6" spans="1:4" x14ac:dyDescent="0.3">
      <c r="A6" t="s">
        <v>22</v>
      </c>
      <c r="B6" t="s">
        <v>23</v>
      </c>
      <c r="C6" t="s">
        <v>24</v>
      </c>
      <c r="D6">
        <v>100</v>
      </c>
    </row>
    <row r="7" spans="1:4" x14ac:dyDescent="0.3">
      <c r="A7" t="s">
        <v>25</v>
      </c>
      <c r="B7" t="s">
        <v>26</v>
      </c>
      <c r="C7" t="s">
        <v>27</v>
      </c>
      <c r="D7">
        <v>100</v>
      </c>
    </row>
    <row r="8" spans="1:4" x14ac:dyDescent="0.3">
      <c r="A8" t="s">
        <v>28</v>
      </c>
      <c r="B8" t="s">
        <v>29</v>
      </c>
      <c r="C8" t="s">
        <v>27</v>
      </c>
      <c r="D8">
        <v>100</v>
      </c>
    </row>
    <row r="9" spans="1:4" x14ac:dyDescent="0.3">
      <c r="A9" t="s">
        <v>30</v>
      </c>
      <c r="B9" t="s">
        <v>31</v>
      </c>
      <c r="C9" t="s">
        <v>32</v>
      </c>
      <c r="D9">
        <v>100</v>
      </c>
    </row>
    <row r="10" spans="1:4" x14ac:dyDescent="0.3">
      <c r="A10" t="s">
        <v>33</v>
      </c>
      <c r="B10" t="s">
        <v>34</v>
      </c>
      <c r="C10" t="s">
        <v>35</v>
      </c>
      <c r="D10">
        <v>100</v>
      </c>
    </row>
    <row r="11" spans="1:4" x14ac:dyDescent="0.3">
      <c r="A11" t="s">
        <v>36</v>
      </c>
      <c r="B11" t="s">
        <v>37</v>
      </c>
      <c r="C11" t="s">
        <v>38</v>
      </c>
      <c r="D11">
        <v>100</v>
      </c>
    </row>
    <row r="12" spans="1:4" x14ac:dyDescent="0.3">
      <c r="A12" t="s">
        <v>39</v>
      </c>
      <c r="B12" t="s">
        <v>40</v>
      </c>
      <c r="C12" t="s">
        <v>41</v>
      </c>
      <c r="D12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42</v>
      </c>
      <c r="B1" s="1" t="s">
        <v>43</v>
      </c>
      <c r="C1" s="1" t="s">
        <v>44</v>
      </c>
      <c r="D1" s="1" t="s">
        <v>45</v>
      </c>
    </row>
    <row r="2" spans="1:4" x14ac:dyDescent="0.3">
      <c r="A2" t="s">
        <v>46</v>
      </c>
      <c r="B2">
        <v>40</v>
      </c>
      <c r="C2">
        <v>35</v>
      </c>
      <c r="D2">
        <v>87.5</v>
      </c>
    </row>
    <row r="3" spans="1:4" x14ac:dyDescent="0.3">
      <c r="A3" t="s">
        <v>47</v>
      </c>
      <c r="B3">
        <v>45</v>
      </c>
      <c r="C3">
        <v>42</v>
      </c>
      <c r="D3">
        <v>93.3</v>
      </c>
    </row>
    <row r="4" spans="1:4" x14ac:dyDescent="0.3">
      <c r="A4" t="s">
        <v>48</v>
      </c>
      <c r="B4">
        <v>50</v>
      </c>
      <c r="C4">
        <v>46</v>
      </c>
      <c r="D4">
        <v>92</v>
      </c>
    </row>
    <row r="5" spans="1:4" x14ac:dyDescent="0.3">
      <c r="A5" t="s">
        <v>49</v>
      </c>
      <c r="B5">
        <v>52</v>
      </c>
      <c r="C5">
        <v>48</v>
      </c>
      <c r="D5">
        <v>92.3</v>
      </c>
    </row>
    <row r="6" spans="1:4" x14ac:dyDescent="0.3">
      <c r="A6" t="s">
        <v>50</v>
      </c>
      <c r="B6">
        <v>55</v>
      </c>
      <c r="C6">
        <v>51</v>
      </c>
      <c r="D6">
        <v>92.7</v>
      </c>
    </row>
    <row r="7" spans="1:4" x14ac:dyDescent="0.3">
      <c r="A7" t="s">
        <v>51</v>
      </c>
      <c r="B7">
        <v>58</v>
      </c>
      <c r="C7">
        <v>54</v>
      </c>
      <c r="D7">
        <v>93.1</v>
      </c>
    </row>
    <row r="8" spans="1:4" x14ac:dyDescent="0.3">
      <c r="A8" t="s">
        <v>52</v>
      </c>
      <c r="B8">
        <v>60</v>
      </c>
      <c r="C8">
        <v>56</v>
      </c>
      <c r="D8">
        <v>93.3</v>
      </c>
    </row>
    <row r="9" spans="1:4" x14ac:dyDescent="0.3">
      <c r="A9" t="s">
        <v>53</v>
      </c>
      <c r="B9">
        <v>62</v>
      </c>
      <c r="C9">
        <v>58</v>
      </c>
      <c r="D9">
        <v>93.5</v>
      </c>
    </row>
    <row r="10" spans="1:4" x14ac:dyDescent="0.3">
      <c r="A10" t="s">
        <v>54</v>
      </c>
      <c r="B10">
        <v>65</v>
      </c>
      <c r="C10">
        <v>59</v>
      </c>
      <c r="D10">
        <v>90.8</v>
      </c>
    </row>
    <row r="11" spans="1:4" x14ac:dyDescent="0.3">
      <c r="A11" t="s">
        <v>55</v>
      </c>
      <c r="B11">
        <v>68</v>
      </c>
      <c r="C11">
        <v>63</v>
      </c>
      <c r="D11">
        <v>92.6</v>
      </c>
    </row>
    <row r="12" spans="1:4" x14ac:dyDescent="0.3">
      <c r="A12" t="s">
        <v>56</v>
      </c>
      <c r="B12">
        <v>70</v>
      </c>
      <c r="C12">
        <v>65</v>
      </c>
      <c r="D12">
        <v>92.8</v>
      </c>
    </row>
    <row r="13" spans="1:4" x14ac:dyDescent="0.3">
      <c r="A13" t="s">
        <v>57</v>
      </c>
      <c r="B13">
        <v>72</v>
      </c>
      <c r="C13">
        <v>67</v>
      </c>
      <c r="D13">
        <v>93.1</v>
      </c>
    </row>
    <row r="14" spans="1:4" x14ac:dyDescent="0.3">
      <c r="A14" t="s">
        <v>58</v>
      </c>
      <c r="B14">
        <v>75</v>
      </c>
      <c r="C14">
        <v>69</v>
      </c>
      <c r="D14">
        <v>92</v>
      </c>
    </row>
    <row r="15" spans="1:4" x14ac:dyDescent="0.3">
      <c r="A15" t="s">
        <v>59</v>
      </c>
      <c r="B15">
        <v>78</v>
      </c>
      <c r="C15">
        <v>71</v>
      </c>
      <c r="D15">
        <v>91</v>
      </c>
    </row>
    <row r="16" spans="1:4" x14ac:dyDescent="0.3">
      <c r="A16" t="s">
        <v>60</v>
      </c>
      <c r="B16">
        <v>80</v>
      </c>
      <c r="C16">
        <v>75</v>
      </c>
      <c r="D16">
        <v>93.8</v>
      </c>
    </row>
    <row r="17" spans="1:4" x14ac:dyDescent="0.3">
      <c r="A17" t="s">
        <v>61</v>
      </c>
      <c r="B17">
        <v>82</v>
      </c>
      <c r="C17">
        <v>76</v>
      </c>
      <c r="D17">
        <v>92.7</v>
      </c>
    </row>
    <row r="18" spans="1:4" x14ac:dyDescent="0.3">
      <c r="A18" t="s">
        <v>62</v>
      </c>
      <c r="B18">
        <v>85</v>
      </c>
      <c r="C18">
        <v>80</v>
      </c>
      <c r="D18">
        <v>94.1</v>
      </c>
    </row>
    <row r="19" spans="1:4" x14ac:dyDescent="0.3">
      <c r="A19" t="s">
        <v>63</v>
      </c>
      <c r="B19">
        <v>87</v>
      </c>
      <c r="C19">
        <v>82</v>
      </c>
      <c r="D19">
        <v>94.3</v>
      </c>
    </row>
    <row r="20" spans="1:4" x14ac:dyDescent="0.3">
      <c r="A20" t="s">
        <v>64</v>
      </c>
      <c r="B20">
        <v>90</v>
      </c>
      <c r="C20">
        <v>84</v>
      </c>
      <c r="D20">
        <v>93.3</v>
      </c>
    </row>
    <row r="21" spans="1:4" x14ac:dyDescent="0.3">
      <c r="A21" t="s">
        <v>65</v>
      </c>
      <c r="B21">
        <v>92</v>
      </c>
      <c r="C21">
        <v>88</v>
      </c>
      <c r="D21">
        <v>95.7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4.4" x14ac:dyDescent="0.3"/>
  <cols>
    <col min="1" max="3" width="24" customWidth="1"/>
  </cols>
  <sheetData>
    <row r="1" spans="1:3" x14ac:dyDescent="0.3">
      <c r="A1" s="1" t="s">
        <v>42</v>
      </c>
      <c r="B1" s="1" t="s">
        <v>66</v>
      </c>
      <c r="C1" s="1" t="s">
        <v>67</v>
      </c>
    </row>
    <row r="2" spans="1:3" x14ac:dyDescent="0.3">
      <c r="A2" t="s">
        <v>46</v>
      </c>
      <c r="B2">
        <v>880</v>
      </c>
      <c r="C2">
        <v>770</v>
      </c>
    </row>
    <row r="3" spans="1:3" x14ac:dyDescent="0.3">
      <c r="A3" t="s">
        <v>47</v>
      </c>
      <c r="B3">
        <v>860</v>
      </c>
      <c r="C3">
        <v>802</v>
      </c>
    </row>
    <row r="4" spans="1:3" x14ac:dyDescent="0.3">
      <c r="A4" t="s">
        <v>48</v>
      </c>
      <c r="B4">
        <v>880</v>
      </c>
      <c r="C4">
        <v>809</v>
      </c>
    </row>
    <row r="5" spans="1:3" x14ac:dyDescent="0.3">
      <c r="A5" t="s">
        <v>49</v>
      </c>
      <c r="B5">
        <v>880</v>
      </c>
      <c r="C5">
        <v>812</v>
      </c>
    </row>
    <row r="6" spans="1:3" x14ac:dyDescent="0.3">
      <c r="A6" t="s">
        <v>50</v>
      </c>
      <c r="B6">
        <v>860</v>
      </c>
      <c r="C6">
        <v>797</v>
      </c>
    </row>
    <row r="7" spans="1:3" x14ac:dyDescent="0.3">
      <c r="A7" t="s">
        <v>51</v>
      </c>
      <c r="B7">
        <v>880</v>
      </c>
      <c r="C7">
        <v>819</v>
      </c>
    </row>
    <row r="8" spans="1:3" x14ac:dyDescent="0.3">
      <c r="A8" t="s">
        <v>52</v>
      </c>
      <c r="B8">
        <v>880</v>
      </c>
      <c r="C8">
        <v>821</v>
      </c>
    </row>
    <row r="9" spans="1:3" x14ac:dyDescent="0.3">
      <c r="A9" t="s">
        <v>53</v>
      </c>
      <c r="B9">
        <v>860</v>
      </c>
      <c r="C9">
        <v>804</v>
      </c>
    </row>
    <row r="10" spans="1:3" x14ac:dyDescent="0.3">
      <c r="A10" t="s">
        <v>54</v>
      </c>
      <c r="B10">
        <v>880</v>
      </c>
      <c r="C10">
        <v>799</v>
      </c>
    </row>
    <row r="11" spans="1:3" x14ac:dyDescent="0.3">
      <c r="A11" t="s">
        <v>55</v>
      </c>
      <c r="B11">
        <v>880</v>
      </c>
      <c r="C11">
        <v>814</v>
      </c>
    </row>
    <row r="12" spans="1:3" x14ac:dyDescent="0.3">
      <c r="A12" t="s">
        <v>56</v>
      </c>
      <c r="B12">
        <v>860</v>
      </c>
      <c r="C12">
        <v>798</v>
      </c>
    </row>
    <row r="13" spans="1:3" x14ac:dyDescent="0.3">
      <c r="A13" t="s">
        <v>57</v>
      </c>
      <c r="B13">
        <v>880</v>
      </c>
      <c r="C13">
        <v>819</v>
      </c>
    </row>
    <row r="14" spans="1:3" x14ac:dyDescent="0.3">
      <c r="A14" t="s">
        <v>58</v>
      </c>
      <c r="B14">
        <v>880</v>
      </c>
      <c r="C14">
        <v>809</v>
      </c>
    </row>
    <row r="15" spans="1:3" x14ac:dyDescent="0.3">
      <c r="A15" t="s">
        <v>59</v>
      </c>
      <c r="B15">
        <v>860</v>
      </c>
      <c r="C15">
        <v>782</v>
      </c>
    </row>
    <row r="16" spans="1:3" x14ac:dyDescent="0.3">
      <c r="A16" t="s">
        <v>60</v>
      </c>
      <c r="B16">
        <v>880</v>
      </c>
      <c r="C16">
        <v>825</v>
      </c>
    </row>
    <row r="17" spans="1:3" x14ac:dyDescent="0.3">
      <c r="A17" t="s">
        <v>61</v>
      </c>
      <c r="B17">
        <v>880</v>
      </c>
      <c r="C17">
        <v>815</v>
      </c>
    </row>
    <row r="18" spans="1:3" x14ac:dyDescent="0.3">
      <c r="A18" t="s">
        <v>62</v>
      </c>
      <c r="B18">
        <v>860</v>
      </c>
      <c r="C18">
        <v>809</v>
      </c>
    </row>
    <row r="19" spans="1:3" x14ac:dyDescent="0.3">
      <c r="A19" t="s">
        <v>63</v>
      </c>
      <c r="B19">
        <v>880</v>
      </c>
      <c r="C19">
        <v>829</v>
      </c>
    </row>
    <row r="20" spans="1:3" x14ac:dyDescent="0.3">
      <c r="A20" t="s">
        <v>64</v>
      </c>
      <c r="B20">
        <v>880</v>
      </c>
      <c r="C20">
        <v>821</v>
      </c>
    </row>
    <row r="21" spans="1:3" x14ac:dyDescent="0.3">
      <c r="A21" t="s">
        <v>65</v>
      </c>
      <c r="B21">
        <v>860</v>
      </c>
      <c r="C21">
        <v>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68</v>
      </c>
      <c r="B1" s="1" t="s">
        <v>69</v>
      </c>
      <c r="C1" s="1" t="s">
        <v>70</v>
      </c>
      <c r="D1" s="1" t="s">
        <v>71</v>
      </c>
    </row>
    <row r="2" spans="1:4" x14ac:dyDescent="0.3">
      <c r="A2" t="s">
        <v>72</v>
      </c>
      <c r="B2" t="s">
        <v>73</v>
      </c>
      <c r="C2">
        <v>1</v>
      </c>
      <c r="D2" t="s">
        <v>74</v>
      </c>
    </row>
    <row r="3" spans="1:4" x14ac:dyDescent="0.3">
      <c r="A3" t="s">
        <v>75</v>
      </c>
      <c r="B3" t="s">
        <v>76</v>
      </c>
      <c r="C3">
        <v>2</v>
      </c>
      <c r="D3" t="s">
        <v>74</v>
      </c>
    </row>
    <row r="4" spans="1:4" x14ac:dyDescent="0.3">
      <c r="A4" t="s">
        <v>77</v>
      </c>
      <c r="B4" t="s">
        <v>78</v>
      </c>
      <c r="C4">
        <v>3</v>
      </c>
      <c r="D4" t="s">
        <v>74</v>
      </c>
    </row>
    <row r="5" spans="1:4" x14ac:dyDescent="0.3">
      <c r="A5" t="s">
        <v>79</v>
      </c>
      <c r="B5" t="s">
        <v>80</v>
      </c>
      <c r="C5">
        <v>4</v>
      </c>
      <c r="D5" t="s">
        <v>74</v>
      </c>
    </row>
    <row r="6" spans="1:4" x14ac:dyDescent="0.3">
      <c r="A6" t="s">
        <v>81</v>
      </c>
      <c r="B6" t="s">
        <v>82</v>
      </c>
      <c r="C6">
        <v>5</v>
      </c>
      <c r="D6" t="s">
        <v>74</v>
      </c>
    </row>
    <row r="7" spans="1:4" x14ac:dyDescent="0.3">
      <c r="A7" t="s">
        <v>83</v>
      </c>
      <c r="B7" t="s">
        <v>84</v>
      </c>
      <c r="C7">
        <v>6</v>
      </c>
      <c r="D7" t="s">
        <v>74</v>
      </c>
    </row>
    <row r="8" spans="1:4" x14ac:dyDescent="0.3">
      <c r="A8" t="s">
        <v>85</v>
      </c>
      <c r="B8" t="s">
        <v>86</v>
      </c>
      <c r="C8">
        <v>7</v>
      </c>
      <c r="D8" t="s">
        <v>74</v>
      </c>
    </row>
    <row r="9" spans="1:4" x14ac:dyDescent="0.3">
      <c r="A9" t="s">
        <v>87</v>
      </c>
      <c r="B9" t="s">
        <v>88</v>
      </c>
      <c r="C9">
        <v>8</v>
      </c>
      <c r="D9" t="s">
        <v>74</v>
      </c>
    </row>
    <row r="10" spans="1:4" x14ac:dyDescent="0.3">
      <c r="A10" t="s">
        <v>89</v>
      </c>
      <c r="B10" t="s">
        <v>90</v>
      </c>
      <c r="C10">
        <v>9</v>
      </c>
      <c r="D10" t="s">
        <v>74</v>
      </c>
    </row>
    <row r="11" spans="1:4" x14ac:dyDescent="0.3">
      <c r="A11" t="s">
        <v>91</v>
      </c>
      <c r="B11" t="s">
        <v>92</v>
      </c>
      <c r="C11">
        <v>10</v>
      </c>
      <c r="D11" t="s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68</v>
      </c>
      <c r="B1" s="1" t="s">
        <v>93</v>
      </c>
      <c r="C1" s="1" t="s">
        <v>94</v>
      </c>
      <c r="D1" s="1" t="s">
        <v>71</v>
      </c>
    </row>
    <row r="2" spans="1:4" x14ac:dyDescent="0.3">
      <c r="A2" t="s">
        <v>95</v>
      </c>
      <c r="B2" t="s">
        <v>96</v>
      </c>
      <c r="C2" t="s">
        <v>97</v>
      </c>
      <c r="D2" t="s">
        <v>98</v>
      </c>
    </row>
    <row r="3" spans="1:4" x14ac:dyDescent="0.3">
      <c r="A3" t="s">
        <v>99</v>
      </c>
      <c r="B3" t="s">
        <v>96</v>
      </c>
      <c r="C3" t="s">
        <v>100</v>
      </c>
      <c r="D3" t="s">
        <v>98</v>
      </c>
    </row>
    <row r="4" spans="1:4" x14ac:dyDescent="0.3">
      <c r="A4" t="s">
        <v>101</v>
      </c>
      <c r="B4" t="s">
        <v>102</v>
      </c>
      <c r="C4" t="s">
        <v>103</v>
      </c>
      <c r="D4" t="s">
        <v>104</v>
      </c>
    </row>
    <row r="5" spans="1:4" x14ac:dyDescent="0.3">
      <c r="A5" t="s">
        <v>105</v>
      </c>
      <c r="B5" t="s">
        <v>102</v>
      </c>
      <c r="C5" t="s">
        <v>106</v>
      </c>
      <c r="D5" t="s">
        <v>104</v>
      </c>
    </row>
    <row r="6" spans="1:4" x14ac:dyDescent="0.3">
      <c r="A6" t="s">
        <v>107</v>
      </c>
      <c r="B6" t="s">
        <v>108</v>
      </c>
      <c r="C6" t="s">
        <v>109</v>
      </c>
      <c r="D6" t="s">
        <v>110</v>
      </c>
    </row>
    <row r="7" spans="1:4" x14ac:dyDescent="0.3">
      <c r="A7" t="s">
        <v>111</v>
      </c>
      <c r="B7" t="s">
        <v>108</v>
      </c>
      <c r="C7" t="s">
        <v>112</v>
      </c>
      <c r="D7" t="s">
        <v>110</v>
      </c>
    </row>
    <row r="8" spans="1:4" x14ac:dyDescent="0.3">
      <c r="A8" t="s">
        <v>113</v>
      </c>
      <c r="B8" t="s">
        <v>114</v>
      </c>
      <c r="C8" t="s">
        <v>115</v>
      </c>
      <c r="D8" t="s">
        <v>98</v>
      </c>
    </row>
    <row r="9" spans="1:4" x14ac:dyDescent="0.3">
      <c r="A9" t="s">
        <v>116</v>
      </c>
      <c r="B9" t="s">
        <v>114</v>
      </c>
      <c r="C9" t="s">
        <v>117</v>
      </c>
      <c r="D9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Executive_Dashboard</vt:lpstr>
      <vt:lpstr>Team_Members</vt:lpstr>
      <vt:lpstr>Sprint_Metrics</vt:lpstr>
      <vt:lpstr>Capacity</vt:lpstr>
      <vt:lpstr>Milestones</vt:lpstr>
      <vt:lpstr>RAID_Log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Dalvi</cp:lastModifiedBy>
  <dcterms:created xsi:type="dcterms:W3CDTF">2026-06-21T15:45:07Z</dcterms:created>
  <dcterms:modified xsi:type="dcterms:W3CDTF">2026-06-21T18:13:50Z</dcterms:modified>
</cp:coreProperties>
</file>